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Github\DeepRL-MsPacman\"/>
    </mc:Choice>
  </mc:AlternateContent>
  <xr:revisionPtr revIDLastSave="0" documentId="13_ncr:2001_{8A1E37F1-33CB-47C0-9960-B026AA7FDFE4}" xr6:coauthVersionLast="47" xr6:coauthVersionMax="47" xr10:uidLastSave="{00000000-0000-0000-0000-000000000000}"/>
  <bookViews>
    <workbookView xWindow="-120" yWindow="-120" windowWidth="38640" windowHeight="21120" xr2:uid="{0D67D52D-1513-48BB-A273-B9082DA3F499}"/>
  </bookViews>
  <sheets>
    <sheet name="DQN_Runs" sheetId="1" r:id="rId1"/>
    <sheet name="PPO_Runs" sheetId="2" r:id="rId2"/>
    <sheet name="Human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<sst xmlns="http://schemas.openxmlformats.org/spreadsheetml/2006/main" count="218" uniqueCount="92">
  <si>
    <t>Run ID</t>
  </si>
  <si>
    <t>Date</t>
  </si>
  <si>
    <t>Description / Hypothesis</t>
  </si>
  <si>
    <t>TensorBoard Log Folder</t>
  </si>
  <si>
    <t>total_timesteps</t>
  </si>
  <si>
    <t>learning_rate</t>
  </si>
  <si>
    <t>replay_buffer_capacity</t>
  </si>
  <si>
    <t>epsilon_decay_duration</t>
  </si>
  <si>
    <t>target_update_frequency</t>
  </si>
  <si>
    <t>enable_death_penalty</t>
  </si>
  <si>
    <t>death_penalty</t>
  </si>
  <si>
    <t>enable_level_completion_bonus</t>
  </si>
  <si>
    <t>level_completion_bonus</t>
  </si>
  <si>
    <t>enable_time_penalty</t>
  </si>
  <si>
    <t>time_penalty_per_step</t>
  </si>
  <si>
    <t>DQN Baseline - 10M steps, death penalty -250</t>
  </si>
  <si>
    <t>num_steps</t>
  </si>
  <si>
    <t>num_epochs</t>
  </si>
  <si>
    <t>clip_epsilon</t>
  </si>
  <si>
    <t>entropy_coeff</t>
  </si>
  <si>
    <t>gae_lambda</t>
  </si>
  <si>
    <t>PPO Baseline - 10M steps, death penalty -250</t>
  </si>
  <si>
    <t>dqn_1753323569</t>
  </si>
  <si>
    <t>ppo_1753323765</t>
  </si>
  <si>
    <t>dqn_1753287213</t>
  </si>
  <si>
    <t>PPO Baseline - 10M steps</t>
  </si>
  <si>
    <t>ppo_1753366805</t>
  </si>
  <si>
    <t>PPO Baseline - 10M steps - Low LR</t>
  </si>
  <si>
    <t>DQN Baseline - 10M steps - High Epsilon Decay Duration</t>
  </si>
  <si>
    <t>DQN Baseline - 10M steps - Baseline</t>
  </si>
  <si>
    <t>PPO Baseline - 10M steps - High LR</t>
  </si>
  <si>
    <t>dqn_1753409992</t>
  </si>
  <si>
    <t>DQN Baseline - 10M steps - Low LR</t>
  </si>
  <si>
    <t>ppo_1753667491</t>
  </si>
  <si>
    <t>dqn_1753667511</t>
  </si>
  <si>
    <t>DQN Baseline - 10M steps - High LR</t>
  </si>
  <si>
    <t>PPO Baseline - 10M steps - Low Epochs</t>
  </si>
  <si>
    <t>PPO Baseline - 10M steps - High Epochs</t>
  </si>
  <si>
    <t>DQN Baseline - 10M steps - Low Epsilon Decay Duration</t>
  </si>
  <si>
    <t>DQN Baseline - 10M steps - Low Update Frequency</t>
  </si>
  <si>
    <t>PPO Baseline - 10M steps - Medium n_steps</t>
  </si>
  <si>
    <t>ppo_1753410334</t>
  </si>
  <si>
    <t>DQN Baseline - 10M steps - High Update Frequency</t>
  </si>
  <si>
    <t>PPO Baseline - 10M steps - High n_steps</t>
  </si>
  <si>
    <t>DQN Baseline - 10M steps - Low Replay Buffer</t>
  </si>
  <si>
    <t>PPO Baseline - 10M steps - High clip epsilon</t>
  </si>
  <si>
    <t>mean_score</t>
  </si>
  <si>
    <t>std_score</t>
  </si>
  <si>
    <t>min_score</t>
  </si>
  <si>
    <t>Q1_score</t>
  </si>
  <si>
    <t>Median_score</t>
  </si>
  <si>
    <t>Q3_score</t>
  </si>
  <si>
    <t>max_score</t>
  </si>
  <si>
    <t>mean_steps</t>
  </si>
  <si>
    <t>std_steps</t>
  </si>
  <si>
    <t>level_1_completion_rate</t>
  </si>
  <si>
    <t>mean_level_reached</t>
  </si>
  <si>
    <t>max_level_reached</t>
  </si>
  <si>
    <t>PPO Baseline - 10M steps - High Entropy Coeff</t>
  </si>
  <si>
    <t>DQN Baseline - 10M steps - High Replay Buffer</t>
  </si>
  <si>
    <t>Notes:</t>
  </si>
  <si>
    <t>250k buffer costs 10GB of RAM, 500k costs 20 GB</t>
  </si>
  <si>
    <t>We might be able to do 750k buffer if performance boost warents, but need to check on RAM use of Reward shaping features</t>
  </si>
  <si>
    <t>Optimal</t>
  </si>
  <si>
    <t>Med n_step</t>
  </si>
  <si>
    <t>med_LR</t>
  </si>
  <si>
    <t>Low_Epochs</t>
  </si>
  <si>
    <t>High clip</t>
  </si>
  <si>
    <t>High Entropy</t>
  </si>
  <si>
    <t>Baseline Epsilon Decay</t>
  </si>
  <si>
    <t>Baseline Update Freq</t>
  </si>
  <si>
    <t>High LR</t>
  </si>
  <si>
    <t>DQN Baseline - 10M steps - Very High LR</t>
  </si>
  <si>
    <t>PPO Baseline - 10M steps - Optimal</t>
  </si>
  <si>
    <t>Final</t>
  </si>
  <si>
    <t>20-30 million</t>
  </si>
  <si>
    <t>0-13 million</t>
  </si>
  <si>
    <t>13-20 million</t>
  </si>
  <si>
    <t>Level 3</t>
  </si>
  <si>
    <t>30-40 million</t>
  </si>
  <si>
    <t>40-50 million</t>
  </si>
  <si>
    <t>Level 4</t>
  </si>
  <si>
    <t>timestep</t>
  </si>
  <si>
    <t>run_name</t>
  </si>
  <si>
    <t>agent_type</t>
  </si>
  <si>
    <t>DQN_Run_12</t>
  </si>
  <si>
    <t>dqn</t>
  </si>
  <si>
    <t>PPO_Run_12</t>
  </si>
  <si>
    <t>ppo</t>
  </si>
  <si>
    <t>50-60 million</t>
  </si>
  <si>
    <t>0-10 million</t>
  </si>
  <si>
    <t>10-30 million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</si>
</sst>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0.00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1" applyNumberFormat="1" applyFont="1"/>
    <xf numFmtId="1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166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CA7AB-C83E-496B-A323-D25B7B27B0B8}">
  <dimension ref="A1:AD48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19" sqref="E19"/>
    </sheetView>
  </sheetViews>
  <sheetFormatPr defaultRowHeight="15" x14ac:dyDescent="0.25"/>
  <cols>
    <col min="1" max="1" width="6.7109375" bestFit="1" customWidth="1"/>
    <col min="2" max="2" width="12.140625" bestFit="1" customWidth="1"/>
    <col min="3" max="3" width="45" bestFit="1" customWidth="1"/>
    <col min="4" max="4" width="22.140625" bestFit="1" customWidth="1"/>
    <col min="5" max="5" width="14.5703125" bestFit="1" customWidth="1"/>
    <col min="6" max="6" width="12.5703125" bestFit="1" customWidth="1"/>
    <col min="7" max="7" width="21" bestFit="1" customWidth="1"/>
    <col min="8" max="8" width="22.42578125" bestFit="1" customWidth="1"/>
    <col min="9" max="9" width="22.85546875" bestFit="1" customWidth="1"/>
    <col min="10" max="10" width="20.42578125" bestFit="1" customWidth="1"/>
    <col min="11" max="11" width="13.42578125" bestFit="1" customWidth="1"/>
    <col min="12" max="12" width="29.85546875" bestFit="1" customWidth="1"/>
    <col min="13" max="13" width="22.7109375" bestFit="1" customWidth="1"/>
    <col min="14" max="14" width="19.28515625" bestFit="1" customWidth="1"/>
    <col min="15" max="15" width="20.7109375" bestFit="1" customWidth="1"/>
    <col min="16" max="16" width="11.7109375" bestFit="1" customWidth="1"/>
    <col min="17" max="17" width="9.42578125" bestFit="1" customWidth="1"/>
    <col min="18" max="18" width="10.140625" bestFit="1" customWidth="1"/>
    <col min="19" max="19" width="9.140625" bestFit="1" customWidth="1"/>
    <col min="20" max="20" width="13.42578125" bestFit="1" customWidth="1"/>
    <col min="21" max="21" width="9.140625" bestFit="1" customWidth="1"/>
    <col min="22" max="22" width="10.42578125" bestFit="1" customWidth="1"/>
    <col min="23" max="23" width="11.5703125" bestFit="1" customWidth="1"/>
    <col min="24" max="24" width="9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</row>
    <row r="2" spans="1:27" x14ac:dyDescent="0.25">
      <c r="A2">
        <v>1</v>
      </c>
      <c r="B2" s="2">
        <v>45861</v>
      </c>
      <c r="C2" t="s">
        <v>15</v>
      </c>
      <c r="D2" t="s">
        <v>24</v>
      </c>
      <c r="E2" s="1">
        <v>10000000</v>
      </c>
      <c r="F2">
        <v>1E-4</v>
      </c>
      <c r="G2" s="1">
        <v>250000</v>
      </c>
      <c r="H2" s="1">
        <v>2500000</v>
      </c>
      <c r="I2" s="1">
        <v>10000</v>
      </c>
      <c r="J2" t="b">
        <v>1</v>
      </c>
      <c r="K2">
        <v>-250</v>
      </c>
      <c r="L2" t="b">
        <v>1</v>
      </c>
      <c r="M2">
        <v>5000</v>
      </c>
      <c r="N2" t="b">
        <v>0</v>
      </c>
      <c r="O2">
        <v>0</v>
      </c>
      <c r="P2">
        <v>2580.5</v>
      </c>
      <c r="Q2" s="3">
        <v>656.08997714965301</v>
      </c>
      <c r="R2">
        <v>1360</v>
      </c>
      <c r="S2">
        <v>2227.5</v>
      </c>
      <c r="T2">
        <v>2530</v>
      </c>
      <c r="U2">
        <v>2920</v>
      </c>
      <c r="V2">
        <v>6220</v>
      </c>
      <c r="W2">
        <v>830.82399999999996</v>
      </c>
      <c r="X2" s="3">
        <v>135.612087590307</v>
      </c>
      <c r="Y2">
        <v>0</v>
      </c>
      <c r="Z2">
        <v>0</v>
      </c>
      <c r="AA2">
        <v>0</v>
      </c>
    </row>
    <row r="3" spans="1:27" x14ac:dyDescent="0.25">
      <c r="A3">
        <v>2</v>
      </c>
      <c r="B3" s="2">
        <v>45861</v>
      </c>
      <c r="C3" t="s">
        <v>28</v>
      </c>
      <c r="D3" t="s">
        <v>22</v>
      </c>
      <c r="E3" s="1">
        <v>10000000</v>
      </c>
      <c r="F3">
        <v>1E-4</v>
      </c>
      <c r="G3" s="1">
        <v>250000</v>
      </c>
      <c r="H3" s="1">
        <v>2500000</v>
      </c>
      <c r="I3" s="1">
        <v>10000</v>
      </c>
      <c r="J3" t="b">
        <v>0</v>
      </c>
      <c r="K3">
        <v>0</v>
      </c>
      <c r="L3" t="b">
        <v>0</v>
      </c>
      <c r="M3">
        <v>0</v>
      </c>
      <c r="N3" t="b">
        <v>0</v>
      </c>
      <c r="O3">
        <v>0</v>
      </c>
      <c r="P3">
        <v>3222.2</v>
      </c>
      <c r="Q3" s="3">
        <v>845.22326324436801</v>
      </c>
      <c r="R3">
        <v>2160</v>
      </c>
      <c r="S3">
        <v>2670</v>
      </c>
      <c r="T3">
        <v>2985</v>
      </c>
      <c r="U3">
        <v>3380</v>
      </c>
      <c r="V3">
        <v>8840</v>
      </c>
      <c r="W3">
        <v>902.71600000000001</v>
      </c>
      <c r="X3" s="3">
        <v>126.13689538257</v>
      </c>
      <c r="Y3">
        <v>0</v>
      </c>
      <c r="Z3">
        <v>0</v>
      </c>
      <c r="AA3">
        <v>0</v>
      </c>
    </row>
    <row r="4" spans="1:27" x14ac:dyDescent="0.25">
      <c r="A4">
        <v>3</v>
      </c>
      <c r="B4" s="2">
        <v>45862</v>
      </c>
      <c r="C4" t="s">
        <v>29</v>
      </c>
      <c r="D4" t="s">
        <v>31</v>
      </c>
      <c r="E4" s="1">
        <v>10000000</v>
      </c>
      <c r="F4">
        <v>1E-4</v>
      </c>
      <c r="G4" s="1">
        <v>250000</v>
      </c>
      <c r="H4" s="1">
        <v>1000000</v>
      </c>
      <c r="I4" s="1">
        <v>10000</v>
      </c>
      <c r="J4" t="b">
        <v>0</v>
      </c>
      <c r="K4">
        <v>0</v>
      </c>
      <c r="L4" t="b">
        <v>0</v>
      </c>
      <c r="M4">
        <v>0</v>
      </c>
      <c r="N4" t="b">
        <v>0</v>
      </c>
      <c r="O4">
        <v>0</v>
      </c>
      <c r="P4">
        <v>3069.3</v>
      </c>
      <c r="Q4" s="3">
        <v>713.73310129190395</v>
      </c>
      <c r="R4">
        <v>1520</v>
      </c>
      <c r="S4">
        <v>2660</v>
      </c>
      <c r="T4">
        <v>2990</v>
      </c>
      <c r="U4">
        <v>3330</v>
      </c>
      <c r="V4">
        <v>5660</v>
      </c>
      <c r="W4">
        <v>941.57600000000002</v>
      </c>
      <c r="X4" s="3">
        <v>133.11126715227999</v>
      </c>
      <c r="Y4">
        <v>0</v>
      </c>
      <c r="Z4">
        <v>0</v>
      </c>
      <c r="AA4">
        <v>0</v>
      </c>
    </row>
    <row r="5" spans="1:27" x14ac:dyDescent="0.25">
      <c r="A5">
        <v>4</v>
      </c>
      <c r="B5" s="2">
        <v>45865</v>
      </c>
      <c r="C5" t="s">
        <v>32</v>
      </c>
      <c r="D5" t="s">
        <v>34</v>
      </c>
      <c r="E5" s="1">
        <v>10000000</v>
      </c>
      <c r="F5">
        <v>5.0000000000000002E-5</v>
      </c>
      <c r="G5" s="1">
        <v>250000</v>
      </c>
      <c r="H5" s="1">
        <v>1000000</v>
      </c>
      <c r="I5" s="1">
        <v>10000</v>
      </c>
      <c r="J5" t="b">
        <v>0</v>
      </c>
      <c r="K5">
        <v>0</v>
      </c>
      <c r="L5" t="b">
        <v>0</v>
      </c>
      <c r="M5">
        <v>0</v>
      </c>
      <c r="N5" t="b">
        <v>0</v>
      </c>
      <c r="O5">
        <v>0</v>
      </c>
      <c r="P5">
        <v>2735.14</v>
      </c>
      <c r="Q5" s="3">
        <v>640.27782390425398</v>
      </c>
      <c r="R5">
        <v>1360</v>
      </c>
      <c r="S5">
        <v>2390</v>
      </c>
      <c r="T5">
        <v>2670</v>
      </c>
      <c r="U5">
        <v>2970</v>
      </c>
      <c r="V5">
        <v>6300</v>
      </c>
      <c r="W5">
        <v>745.16399999999999</v>
      </c>
      <c r="X5" s="3">
        <v>125.934602680536</v>
      </c>
      <c r="Y5">
        <v>0</v>
      </c>
      <c r="Z5">
        <v>0</v>
      </c>
      <c r="AA5">
        <v>0</v>
      </c>
    </row>
    <row r="6" spans="1:27" x14ac:dyDescent="0.25">
      <c r="A6">
        <v>5</v>
      </c>
      <c r="B6" s="2">
        <v>45866</v>
      </c>
      <c r="C6" t="s">
        <v>35</v>
      </c>
      <c r="E6" s="1">
        <v>10000000</v>
      </c>
      <c r="F6">
        <v>2.5000000000000001E-4</v>
      </c>
      <c r="G6" s="1">
        <v>250000</v>
      </c>
      <c r="H6" s="1">
        <v>1000000</v>
      </c>
      <c r="I6" s="1">
        <v>10000</v>
      </c>
      <c r="J6" t="b">
        <v>0</v>
      </c>
      <c r="K6">
        <v>0</v>
      </c>
      <c r="L6" t="b">
        <v>0</v>
      </c>
      <c r="M6">
        <v>0</v>
      </c>
      <c r="N6" t="b">
        <v>0</v>
      </c>
      <c r="O6">
        <v>0</v>
      </c>
      <c r="P6">
        <v>3350.14</v>
      </c>
      <c r="Q6" s="3">
        <v>861.05296283656003</v>
      </c>
      <c r="R6">
        <v>2090</v>
      </c>
      <c r="S6">
        <v>2557.5</v>
      </c>
      <c r="T6">
        <v>3140</v>
      </c>
      <c r="U6">
        <v>4110</v>
      </c>
      <c r="V6">
        <v>6170</v>
      </c>
      <c r="W6">
        <v>806.90800000000002</v>
      </c>
      <c r="X6" s="3">
        <v>141.791343551757</v>
      </c>
      <c r="Y6">
        <v>0</v>
      </c>
      <c r="Z6">
        <v>0</v>
      </c>
      <c r="AA6">
        <v>0</v>
      </c>
    </row>
    <row r="7" spans="1:27" x14ac:dyDescent="0.25">
      <c r="A7">
        <v>6</v>
      </c>
      <c r="B7" s="2">
        <v>45861</v>
      </c>
      <c r="C7" t="s">
        <v>38</v>
      </c>
      <c r="E7" s="1">
        <v>10000000</v>
      </c>
      <c r="F7">
        <v>1E-4</v>
      </c>
      <c r="G7" s="1">
        <v>250000</v>
      </c>
      <c r="H7" s="1">
        <v>500000</v>
      </c>
      <c r="I7" s="1">
        <v>10000</v>
      </c>
      <c r="J7" t="b">
        <v>0</v>
      </c>
      <c r="K7">
        <v>0</v>
      </c>
      <c r="L7" t="b">
        <v>0</v>
      </c>
      <c r="M7">
        <v>0</v>
      </c>
      <c r="N7" t="b">
        <v>0</v>
      </c>
      <c r="O7">
        <v>0</v>
      </c>
      <c r="P7">
        <v>3277.74</v>
      </c>
      <c r="Q7" s="3">
        <v>867.61085146461699</v>
      </c>
      <c r="R7">
        <v>1760</v>
      </c>
      <c r="S7">
        <v>2610</v>
      </c>
      <c r="T7">
        <v>2990</v>
      </c>
      <c r="U7">
        <v>4070</v>
      </c>
      <c r="V7">
        <v>6760</v>
      </c>
      <c r="W7">
        <v>912.06399999999996</v>
      </c>
      <c r="X7" s="3">
        <v>121.67595481425199</v>
      </c>
      <c r="Y7">
        <v>0</v>
      </c>
      <c r="Z7">
        <v>0</v>
      </c>
      <c r="AA7">
        <v>0</v>
      </c>
    </row>
    <row r="8" spans="1:27" x14ac:dyDescent="0.25">
      <c r="A8">
        <v>7</v>
      </c>
      <c r="B8" s="2">
        <v>45861</v>
      </c>
      <c r="C8" t="s">
        <v>39</v>
      </c>
      <c r="E8" s="1">
        <v>10000000</v>
      </c>
      <c r="F8">
        <v>1E-4</v>
      </c>
      <c r="G8" s="1">
        <v>250000</v>
      </c>
      <c r="H8" s="1">
        <v>1000000</v>
      </c>
      <c r="I8" s="1">
        <v>1000</v>
      </c>
      <c r="J8" t="b">
        <v>0</v>
      </c>
      <c r="K8">
        <v>0</v>
      </c>
      <c r="L8" t="b">
        <v>0</v>
      </c>
      <c r="M8">
        <v>0</v>
      </c>
      <c r="N8" t="b">
        <v>0</v>
      </c>
      <c r="O8">
        <v>0</v>
      </c>
      <c r="P8">
        <v>2345.98</v>
      </c>
      <c r="Q8" s="3">
        <v>787.898475449236</v>
      </c>
      <c r="R8">
        <v>330</v>
      </c>
      <c r="S8">
        <v>1760</v>
      </c>
      <c r="T8">
        <v>2450</v>
      </c>
      <c r="U8">
        <v>2760</v>
      </c>
      <c r="V8">
        <v>5390</v>
      </c>
      <c r="W8">
        <v>876.596</v>
      </c>
      <c r="X8" s="3">
        <v>143.47668766669901</v>
      </c>
      <c r="Y8">
        <v>0</v>
      </c>
      <c r="Z8">
        <v>0</v>
      </c>
      <c r="AA8">
        <v>0</v>
      </c>
    </row>
    <row r="9" spans="1:27" x14ac:dyDescent="0.25">
      <c r="A9">
        <v>8</v>
      </c>
      <c r="B9" s="2">
        <v>45869</v>
      </c>
      <c r="C9" t="s">
        <v>42</v>
      </c>
      <c r="E9" s="1">
        <v>10000000</v>
      </c>
      <c r="F9">
        <v>1E-4</v>
      </c>
      <c r="G9" s="1">
        <v>250000</v>
      </c>
      <c r="H9" s="1">
        <v>1000000</v>
      </c>
      <c r="I9" s="1">
        <v>20000</v>
      </c>
      <c r="J9" t="b">
        <v>0</v>
      </c>
      <c r="K9">
        <v>0</v>
      </c>
      <c r="L9" t="b">
        <v>0</v>
      </c>
      <c r="M9">
        <v>0</v>
      </c>
      <c r="N9" t="b">
        <v>0</v>
      </c>
      <c r="O9">
        <v>0</v>
      </c>
      <c r="P9">
        <v>2088.36</v>
      </c>
      <c r="Q9" s="3">
        <v>805.47805693290002</v>
      </c>
      <c r="R9">
        <v>830</v>
      </c>
      <c r="S9">
        <v>1497.5</v>
      </c>
      <c r="T9">
        <v>1880</v>
      </c>
      <c r="U9">
        <v>2475</v>
      </c>
      <c r="V9">
        <v>5240</v>
      </c>
      <c r="W9">
        <v>921.77200000000005</v>
      </c>
      <c r="X9" s="3">
        <v>122.177062024628</v>
      </c>
      <c r="Y9">
        <v>0</v>
      </c>
      <c r="Z9">
        <v>0</v>
      </c>
      <c r="AA9">
        <v>0</v>
      </c>
    </row>
    <row r="10" spans="1:27" x14ac:dyDescent="0.25">
      <c r="A10">
        <v>9</v>
      </c>
      <c r="B10" s="2">
        <v>45870</v>
      </c>
      <c r="C10" t="s">
        <v>44</v>
      </c>
      <c r="E10" s="1">
        <v>10000000</v>
      </c>
      <c r="F10">
        <v>1E-4</v>
      </c>
      <c r="G10" s="1">
        <v>100000</v>
      </c>
      <c r="H10" s="1">
        <v>1000000</v>
      </c>
      <c r="I10" s="1">
        <v>10000</v>
      </c>
      <c r="J10" t="b">
        <v>0</v>
      </c>
      <c r="K10">
        <v>0</v>
      </c>
      <c r="L10" t="b">
        <v>0</v>
      </c>
      <c r="M10">
        <v>0</v>
      </c>
      <c r="N10" t="b">
        <v>0</v>
      </c>
      <c r="O10">
        <v>0</v>
      </c>
      <c r="P10">
        <v>2721.64</v>
      </c>
      <c r="Q10">
        <v>718.89507625335796</v>
      </c>
      <c r="R10">
        <v>1180</v>
      </c>
      <c r="S10">
        <v>2300</v>
      </c>
      <c r="T10">
        <v>2640</v>
      </c>
      <c r="U10">
        <v>3040</v>
      </c>
      <c r="V10">
        <v>6740</v>
      </c>
      <c r="W10">
        <v>818.404</v>
      </c>
      <c r="X10">
        <v>136.22434043096499</v>
      </c>
      <c r="Y10">
        <v>0</v>
      </c>
      <c r="Z10">
        <v>0</v>
      </c>
      <c r="AA10">
        <v>0</v>
      </c>
    </row>
    <row r="11" spans="1:27" x14ac:dyDescent="0.25">
      <c r="A11">
        <v>10</v>
      </c>
      <c r="B11" s="2">
        <v>45871</v>
      </c>
      <c r="C11" t="s">
        <v>59</v>
      </c>
      <c r="E11" s="1">
        <v>10000000</v>
      </c>
      <c r="F11">
        <v>1E-4</v>
      </c>
      <c r="G11" s="1">
        <v>500000</v>
      </c>
      <c r="H11" s="1">
        <v>1000000</v>
      </c>
      <c r="I11" s="1">
        <v>10000</v>
      </c>
      <c r="J11" t="b">
        <v>0</v>
      </c>
      <c r="K11">
        <v>0</v>
      </c>
      <c r="L11" t="b">
        <v>0</v>
      </c>
      <c r="M11">
        <v>0</v>
      </c>
      <c r="N11" t="b">
        <v>0</v>
      </c>
      <c r="O11">
        <v>0</v>
      </c>
      <c r="P11">
        <v>3231.52</v>
      </c>
      <c r="Q11">
        <v>682.30254515592401</v>
      </c>
      <c r="R11">
        <v>1870</v>
      </c>
      <c r="S11">
        <v>2730</v>
      </c>
      <c r="T11">
        <v>3080</v>
      </c>
      <c r="U11">
        <v>3622.5</v>
      </c>
      <c r="V11">
        <v>7360</v>
      </c>
      <c r="W11">
        <v>891.82399999999996</v>
      </c>
      <c r="X11">
        <v>125.895688857664</v>
      </c>
      <c r="Y11">
        <v>0</v>
      </c>
      <c r="Z11">
        <v>0</v>
      </c>
      <c r="AA11">
        <v>0</v>
      </c>
    </row>
    <row r="12" spans="1:27" x14ac:dyDescent="0.25">
      <c r="A12">
        <v>11</v>
      </c>
      <c r="B12" s="2">
        <v>45872</v>
      </c>
      <c r="C12" t="s">
        <v>72</v>
      </c>
      <c r="E12" s="1">
        <v>10000000</v>
      </c>
      <c r="F12">
        <v>5.0000000000000001E-4</v>
      </c>
      <c r="G12" s="1">
        <v>250000</v>
      </c>
      <c r="H12" s="1">
        <v>1000000</v>
      </c>
      <c r="I12" s="1">
        <v>10000</v>
      </c>
      <c r="J12" t="b">
        <v>0</v>
      </c>
      <c r="K12">
        <v>0</v>
      </c>
      <c r="L12" t="b">
        <v>0</v>
      </c>
      <c r="M12">
        <v>0</v>
      </c>
      <c r="N12" t="b">
        <v>0</v>
      </c>
      <c r="O12">
        <v>0</v>
      </c>
      <c r="P12">
        <v>2358.9</v>
      </c>
      <c r="Q12">
        <v>804.07914818947097</v>
      </c>
      <c r="R12">
        <v>610</v>
      </c>
      <c r="S12">
        <v>1830</v>
      </c>
      <c r="T12">
        <v>2440</v>
      </c>
      <c r="U12">
        <v>2822.5</v>
      </c>
      <c r="V12">
        <v>4580</v>
      </c>
      <c r="W12">
        <v>879.46</v>
      </c>
      <c r="X12">
        <v>142.23113509911599</v>
      </c>
      <c r="Y12">
        <v>0</v>
      </c>
      <c r="Z12">
        <v>0</v>
      </c>
      <c r="AA12">
        <v>0</v>
      </c>
    </row>
    <row r="17" spans="2:30" x14ac:dyDescent="0.25">
      <c r="B17" t="s">
        <v>60</v>
      </c>
      <c r="C17" t="s">
        <v>61</v>
      </c>
    </row>
    <row r="18" spans="2:30" ht="45" x14ac:dyDescent="0.25">
      <c r="C18" s="5" t="s">
        <v>62</v>
      </c>
      <c r="P18" t="s">
        <v>46</v>
      </c>
      <c r="Q18" t="s">
        <v>47</v>
      </c>
      <c r="R18" t="s">
        <v>48</v>
      </c>
      <c r="S18" t="s">
        <v>49</v>
      </c>
      <c r="T18" t="s">
        <v>50</v>
      </c>
      <c r="U18" t="s">
        <v>51</v>
      </c>
      <c r="V18" t="s">
        <v>52</v>
      </c>
      <c r="W18" t="s">
        <v>53</v>
      </c>
      <c r="X18" t="s">
        <v>54</v>
      </c>
      <c r="Y18" t="s">
        <v>55</v>
      </c>
      <c r="Z18" t="s">
        <v>56</v>
      </c>
      <c r="AA18" t="s">
        <v>57</v>
      </c>
      <c r="AB18" t="s">
        <v>82</v>
      </c>
      <c r="AC18" t="s">
        <v>83</v>
      </c>
      <c r="AD18" t="s">
        <v>84</v>
      </c>
    </row>
    <row r="19" spans="2:30" x14ac:dyDescent="0.25">
      <c r="E19" t="s">
        <v>63</v>
      </c>
      <c r="P19">
        <v>675.7</v>
      </c>
      <c r="Q19">
        <v>219.799058830164</v>
      </c>
      <c r="R19">
        <v>350</v>
      </c>
      <c r="S19">
        <v>630</v>
      </c>
      <c r="T19">
        <v>630</v>
      </c>
      <c r="U19">
        <v>702.5</v>
      </c>
      <c r="V19">
        <v>1480</v>
      </c>
      <c r="W19">
        <v>765.66</v>
      </c>
      <c r="X19">
        <v>121.500735334683</v>
      </c>
      <c r="Y19">
        <v>0</v>
      </c>
      <c r="Z19">
        <v>0</v>
      </c>
      <c r="AA19">
        <v>0</v>
      </c>
      <c r="AB19">
        <v>1000000</v>
      </c>
      <c r="AC19" t="s">
        <v>85</v>
      </c>
      <c r="AD19" t="s">
        <v>86</v>
      </c>
    </row>
    <row r="20" spans="2:30" x14ac:dyDescent="0.25">
      <c r="C20" t="s">
        <v>63</v>
      </c>
      <c r="E20" t="s">
        <v>90</v>
      </c>
      <c r="F20">
        <v>2.5000000000000001E-4</v>
      </c>
      <c r="G20">
        <v>500000</v>
      </c>
      <c r="H20">
        <v>2500000</v>
      </c>
      <c r="I20">
        <v>10000</v>
      </c>
      <c r="P20">
        <v>1218.5</v>
      </c>
      <c r="Q20">
        <v>273.209044173471</v>
      </c>
      <c r="R20">
        <v>910</v>
      </c>
      <c r="S20">
        <v>1020</v>
      </c>
      <c r="T20">
        <v>1160</v>
      </c>
      <c r="U20">
        <v>1270</v>
      </c>
      <c r="V20">
        <v>2380</v>
      </c>
      <c r="W20">
        <v>916.4</v>
      </c>
      <c r="X20">
        <v>126.294988983824</v>
      </c>
      <c r="Y20">
        <v>0</v>
      </c>
      <c r="Z20">
        <v>0</v>
      </c>
      <c r="AA20">
        <v>0</v>
      </c>
      <c r="AB20">
        <v>2000000</v>
      </c>
      <c r="AC20" t="s">
        <v>85</v>
      </c>
      <c r="AD20" t="s">
        <v>86</v>
      </c>
    </row>
    <row r="21" spans="2:30" x14ac:dyDescent="0.25">
      <c r="C21" t="s">
        <v>69</v>
      </c>
      <c r="E21" t="s">
        <v>91</v>
      </c>
      <c r="F21">
        <v>1E-4</v>
      </c>
      <c r="G21">
        <v>500000</v>
      </c>
      <c r="H21">
        <v>2500000</v>
      </c>
      <c r="I21">
        <v>20000</v>
      </c>
      <c r="P21">
        <v>1255.5</v>
      </c>
      <c r="Q21">
        <v>320.22837494702401</v>
      </c>
      <c r="R21">
        <v>850</v>
      </c>
      <c r="S21">
        <v>1090</v>
      </c>
      <c r="T21">
        <v>1150</v>
      </c>
      <c r="U21">
        <v>1282.5</v>
      </c>
      <c r="V21">
        <v>2660</v>
      </c>
      <c r="W21">
        <v>786.52</v>
      </c>
      <c r="X21">
        <v>103.11751460436599</v>
      </c>
      <c r="Y21">
        <v>0</v>
      </c>
      <c r="Z21">
        <v>0</v>
      </c>
      <c r="AA21">
        <v>0</v>
      </c>
      <c r="AB21">
        <v>3000000</v>
      </c>
      <c r="AC21" t="s">
        <v>85</v>
      </c>
      <c r="AD21" t="s">
        <v>86</v>
      </c>
    </row>
    <row r="22" spans="2:30" x14ac:dyDescent="0.25">
      <c r="C22" t="s">
        <v>70</v>
      </c>
      <c r="P22">
        <v>1051.7</v>
      </c>
      <c r="Q22">
        <v>589.58649265670203</v>
      </c>
      <c r="R22">
        <v>350</v>
      </c>
      <c r="S22">
        <v>550</v>
      </c>
      <c r="T22">
        <v>940</v>
      </c>
      <c r="U22">
        <v>1385</v>
      </c>
      <c r="V22">
        <v>2680</v>
      </c>
      <c r="W22">
        <v>821.04</v>
      </c>
      <c r="X22">
        <v>137.21058945498999</v>
      </c>
      <c r="Y22">
        <v>0</v>
      </c>
      <c r="Z22">
        <v>0</v>
      </c>
      <c r="AA22">
        <v>0</v>
      </c>
      <c r="AB22">
        <v>4000000</v>
      </c>
      <c r="AC22" t="s">
        <v>85</v>
      </c>
      <c r="AD22" t="s">
        <v>86</v>
      </c>
    </row>
    <row r="23" spans="2:30" x14ac:dyDescent="0.25">
      <c r="C23" t="s">
        <v>71</v>
      </c>
      <c r="P23">
        <v>2294</v>
      </c>
      <c r="Q23">
        <v>1102.45364546725</v>
      </c>
      <c r="R23">
        <v>340</v>
      </c>
      <c r="S23">
        <v>1465</v>
      </c>
      <c r="T23">
        <v>2330</v>
      </c>
      <c r="U23">
        <v>2810</v>
      </c>
      <c r="V23">
        <v>4470</v>
      </c>
      <c r="W23">
        <v>794.88</v>
      </c>
      <c r="X23">
        <v>119.80483118705</v>
      </c>
      <c r="Y23">
        <v>0</v>
      </c>
      <c r="Z23">
        <v>0</v>
      </c>
      <c r="AA23">
        <v>0</v>
      </c>
      <c r="AB23">
        <v>5000000</v>
      </c>
      <c r="AC23" t="s">
        <v>85</v>
      </c>
      <c r="AD23" t="s">
        <v>86</v>
      </c>
    </row>
    <row r="24" spans="2:30" x14ac:dyDescent="0.25">
      <c r="P24">
        <v>1506.9</v>
      </c>
      <c r="Q24">
        <v>451.74788490390398</v>
      </c>
      <c r="R24">
        <v>370</v>
      </c>
      <c r="S24">
        <v>1310</v>
      </c>
      <c r="T24">
        <v>1360</v>
      </c>
      <c r="U24">
        <v>1470</v>
      </c>
      <c r="V24">
        <v>3240</v>
      </c>
      <c r="W24">
        <v>802.02</v>
      </c>
      <c r="X24">
        <v>149.71933203109799</v>
      </c>
      <c r="Y24">
        <v>0</v>
      </c>
      <c r="Z24">
        <v>0</v>
      </c>
      <c r="AA24">
        <v>0</v>
      </c>
      <c r="AB24">
        <v>6000000</v>
      </c>
      <c r="AC24" t="s">
        <v>85</v>
      </c>
      <c r="AD24" t="s">
        <v>86</v>
      </c>
    </row>
    <row r="25" spans="2:30" x14ac:dyDescent="0.25">
      <c r="P25">
        <v>2550.4</v>
      </c>
      <c r="Q25">
        <v>671.87799517772498</v>
      </c>
      <c r="R25">
        <v>1010</v>
      </c>
      <c r="S25">
        <v>1992.5</v>
      </c>
      <c r="T25">
        <v>2520</v>
      </c>
      <c r="U25">
        <v>2970</v>
      </c>
      <c r="V25">
        <v>4400</v>
      </c>
      <c r="W25">
        <v>880.54</v>
      </c>
      <c r="X25">
        <v>114.53793161122501</v>
      </c>
      <c r="Y25">
        <v>0</v>
      </c>
      <c r="Z25">
        <v>0</v>
      </c>
      <c r="AA25">
        <v>0</v>
      </c>
      <c r="AB25">
        <v>7000000</v>
      </c>
      <c r="AC25" t="s">
        <v>85</v>
      </c>
      <c r="AD25" t="s">
        <v>86</v>
      </c>
    </row>
    <row r="26" spans="2:30" x14ac:dyDescent="0.25">
      <c r="P26">
        <v>2320.1999999999998</v>
      </c>
      <c r="Q26">
        <v>893.74931517950699</v>
      </c>
      <c r="R26">
        <v>790</v>
      </c>
      <c r="S26">
        <v>1637.5</v>
      </c>
      <c r="T26">
        <v>2225</v>
      </c>
      <c r="U26">
        <v>2940</v>
      </c>
      <c r="V26">
        <v>4770</v>
      </c>
      <c r="W26">
        <v>790.7</v>
      </c>
      <c r="X26">
        <v>137.414325926</v>
      </c>
      <c r="Y26">
        <v>0</v>
      </c>
      <c r="Z26">
        <v>0</v>
      </c>
      <c r="AA26">
        <v>0</v>
      </c>
      <c r="AB26">
        <v>8000000</v>
      </c>
      <c r="AC26" t="s">
        <v>85</v>
      </c>
      <c r="AD26" t="s">
        <v>86</v>
      </c>
    </row>
    <row r="27" spans="2:30" x14ac:dyDescent="0.25">
      <c r="P27">
        <v>2197.4</v>
      </c>
      <c r="Q27">
        <v>612.26788221819902</v>
      </c>
      <c r="R27">
        <v>1370</v>
      </c>
      <c r="S27">
        <v>1740</v>
      </c>
      <c r="T27">
        <v>2015</v>
      </c>
      <c r="U27">
        <v>2535</v>
      </c>
      <c r="V27">
        <v>4090</v>
      </c>
      <c r="W27">
        <v>828.76</v>
      </c>
      <c r="X27">
        <v>164.38468802344499</v>
      </c>
      <c r="Y27">
        <v>0</v>
      </c>
      <c r="Z27">
        <v>0</v>
      </c>
      <c r="AA27">
        <v>0</v>
      </c>
      <c r="AB27">
        <v>9000000</v>
      </c>
      <c r="AC27" t="s">
        <v>85</v>
      </c>
      <c r="AD27" t="s">
        <v>86</v>
      </c>
    </row>
    <row r="28" spans="2:30" x14ac:dyDescent="0.25">
      <c r="P28">
        <v>1994.5</v>
      </c>
      <c r="Q28">
        <v>653.522506625951</v>
      </c>
      <c r="R28">
        <v>840</v>
      </c>
      <c r="S28">
        <v>1535</v>
      </c>
      <c r="T28">
        <v>1800</v>
      </c>
      <c r="U28">
        <v>2350</v>
      </c>
      <c r="V28">
        <v>4380</v>
      </c>
      <c r="W28">
        <v>779.2</v>
      </c>
      <c r="X28">
        <v>114.766165428983</v>
      </c>
      <c r="Y28">
        <v>0</v>
      </c>
      <c r="Z28">
        <v>0</v>
      </c>
      <c r="AA28">
        <v>0</v>
      </c>
      <c r="AB28">
        <v>10000000</v>
      </c>
      <c r="AC28" t="s">
        <v>85</v>
      </c>
      <c r="AD28" t="s">
        <v>86</v>
      </c>
    </row>
    <row r="29" spans="2:30" x14ac:dyDescent="0.25">
      <c r="P29">
        <v>2507</v>
      </c>
      <c r="Q29">
        <v>745.78478765321404</v>
      </c>
      <c r="R29">
        <v>1440</v>
      </c>
      <c r="S29">
        <v>2000</v>
      </c>
      <c r="T29">
        <v>2345</v>
      </c>
      <c r="U29">
        <v>2992.5</v>
      </c>
      <c r="V29">
        <v>5750</v>
      </c>
      <c r="W29">
        <v>903.8</v>
      </c>
      <c r="X29">
        <v>121.62901036190399</v>
      </c>
      <c r="Y29">
        <v>0</v>
      </c>
      <c r="Z29">
        <v>0</v>
      </c>
      <c r="AA29">
        <v>0</v>
      </c>
      <c r="AB29">
        <v>11000000</v>
      </c>
      <c r="AC29" t="s">
        <v>85</v>
      </c>
      <c r="AD29" t="s">
        <v>86</v>
      </c>
    </row>
    <row r="30" spans="2:30" x14ac:dyDescent="0.25">
      <c r="P30">
        <v>1770.3</v>
      </c>
      <c r="Q30">
        <v>536.28436411284497</v>
      </c>
      <c r="R30">
        <v>1100</v>
      </c>
      <c r="S30">
        <v>1387.5</v>
      </c>
      <c r="T30">
        <v>1585</v>
      </c>
      <c r="U30">
        <v>2062.5</v>
      </c>
      <c r="V30">
        <v>5050</v>
      </c>
      <c r="W30">
        <v>814.02</v>
      </c>
      <c r="X30">
        <v>163.12639828728399</v>
      </c>
      <c r="Y30">
        <v>0</v>
      </c>
      <c r="Z30">
        <v>0</v>
      </c>
      <c r="AA30">
        <v>0</v>
      </c>
      <c r="AB30">
        <v>12000000</v>
      </c>
      <c r="AC30" t="s">
        <v>85</v>
      </c>
      <c r="AD30" t="s">
        <v>86</v>
      </c>
    </row>
    <row r="31" spans="2:30" x14ac:dyDescent="0.25">
      <c r="P31">
        <v>2494.1999999999998</v>
      </c>
      <c r="Q31">
        <v>638.53395850308198</v>
      </c>
      <c r="R31">
        <v>1210</v>
      </c>
      <c r="S31">
        <v>2105</v>
      </c>
      <c r="T31">
        <v>2445</v>
      </c>
      <c r="U31">
        <v>2762.5</v>
      </c>
      <c r="V31">
        <v>4340</v>
      </c>
      <c r="W31">
        <v>860.24</v>
      </c>
      <c r="X31">
        <v>124.718278086609</v>
      </c>
      <c r="Y31">
        <v>0</v>
      </c>
      <c r="Z31">
        <v>0</v>
      </c>
      <c r="AA31">
        <v>0</v>
      </c>
      <c r="AB31">
        <v>13000000</v>
      </c>
      <c r="AC31" t="s">
        <v>85</v>
      </c>
      <c r="AD31" t="s">
        <v>86</v>
      </c>
    </row>
    <row r="32" spans="2:30" x14ac:dyDescent="0.25">
      <c r="P32">
        <v>2683.1</v>
      </c>
      <c r="Q32">
        <v>665.613858089514</v>
      </c>
      <c r="R32">
        <v>570</v>
      </c>
      <c r="S32">
        <v>2337.5</v>
      </c>
      <c r="T32">
        <v>2680</v>
      </c>
      <c r="U32">
        <v>3122.5</v>
      </c>
      <c r="V32">
        <v>4420</v>
      </c>
      <c r="W32">
        <v>890.26</v>
      </c>
      <c r="X32">
        <v>103.79764890975</v>
      </c>
      <c r="Y32">
        <v>0</v>
      </c>
      <c r="Z32">
        <v>0</v>
      </c>
      <c r="AA32">
        <v>0</v>
      </c>
      <c r="AB32">
        <v>14000000</v>
      </c>
      <c r="AC32" t="s">
        <v>85</v>
      </c>
      <c r="AD32" t="s">
        <v>86</v>
      </c>
    </row>
    <row r="33" spans="16:30" x14ac:dyDescent="0.25">
      <c r="P33">
        <v>2951.9</v>
      </c>
      <c r="Q33">
        <v>683.81977512242497</v>
      </c>
      <c r="R33">
        <v>1780</v>
      </c>
      <c r="S33">
        <v>2462.5</v>
      </c>
      <c r="T33">
        <v>2660</v>
      </c>
      <c r="U33">
        <v>3622.5</v>
      </c>
      <c r="V33">
        <v>4390</v>
      </c>
      <c r="W33">
        <v>873.94</v>
      </c>
      <c r="X33">
        <v>137.92179162866299</v>
      </c>
      <c r="Y33">
        <v>0</v>
      </c>
      <c r="Z33">
        <v>0</v>
      </c>
      <c r="AA33">
        <v>0</v>
      </c>
      <c r="AB33">
        <v>15000000</v>
      </c>
      <c r="AC33" t="s">
        <v>85</v>
      </c>
      <c r="AD33" t="s">
        <v>86</v>
      </c>
    </row>
    <row r="34" spans="16:30" x14ac:dyDescent="0.25">
      <c r="P34">
        <v>2649.6</v>
      </c>
      <c r="Q34">
        <v>965.07802584018805</v>
      </c>
      <c r="R34">
        <v>690</v>
      </c>
      <c r="S34">
        <v>2220</v>
      </c>
      <c r="T34">
        <v>2450</v>
      </c>
      <c r="U34">
        <v>2630</v>
      </c>
      <c r="V34">
        <v>7440</v>
      </c>
      <c r="W34">
        <v>791.8</v>
      </c>
      <c r="X34">
        <v>131.176802580919</v>
      </c>
      <c r="Y34">
        <v>0</v>
      </c>
      <c r="Z34">
        <v>0</v>
      </c>
      <c r="AA34">
        <v>0</v>
      </c>
      <c r="AB34">
        <v>16000000</v>
      </c>
      <c r="AC34" t="s">
        <v>85</v>
      </c>
      <c r="AD34" t="s">
        <v>86</v>
      </c>
    </row>
    <row r="35" spans="16:30" x14ac:dyDescent="0.25">
      <c r="P35">
        <v>2227.8000000000002</v>
      </c>
      <c r="Q35">
        <v>770.87066084887101</v>
      </c>
      <c r="R35">
        <v>310</v>
      </c>
      <c r="S35">
        <v>1690</v>
      </c>
      <c r="T35">
        <v>2390</v>
      </c>
      <c r="U35">
        <v>2675</v>
      </c>
      <c r="V35">
        <v>4180</v>
      </c>
      <c r="W35">
        <v>820.34</v>
      </c>
      <c r="X35">
        <v>125.01476438057701</v>
      </c>
      <c r="Y35">
        <v>0</v>
      </c>
      <c r="Z35">
        <v>0</v>
      </c>
      <c r="AA35">
        <v>0</v>
      </c>
      <c r="AB35">
        <v>17000000</v>
      </c>
      <c r="AC35" t="s">
        <v>85</v>
      </c>
      <c r="AD35" t="s">
        <v>86</v>
      </c>
    </row>
    <row r="36" spans="16:30" x14ac:dyDescent="0.25">
      <c r="P36">
        <v>2445.5</v>
      </c>
      <c r="Q36">
        <v>630.47581038034002</v>
      </c>
      <c r="R36">
        <v>720</v>
      </c>
      <c r="S36">
        <v>2287.5</v>
      </c>
      <c r="T36">
        <v>2370</v>
      </c>
      <c r="U36">
        <v>2620</v>
      </c>
      <c r="V36">
        <v>4120</v>
      </c>
      <c r="W36">
        <v>861.92</v>
      </c>
      <c r="X36">
        <v>117.631995922225</v>
      </c>
      <c r="Y36">
        <v>0</v>
      </c>
      <c r="Z36">
        <v>0</v>
      </c>
      <c r="AA36">
        <v>0</v>
      </c>
      <c r="AB36">
        <v>18000000</v>
      </c>
      <c r="AC36" t="s">
        <v>85</v>
      </c>
      <c r="AD36" t="s">
        <v>86</v>
      </c>
    </row>
    <row r="37" spans="16:30" x14ac:dyDescent="0.25">
      <c r="P37">
        <v>2075.8000000000002</v>
      </c>
      <c r="Q37">
        <v>573.06050591045198</v>
      </c>
      <c r="R37">
        <v>250</v>
      </c>
      <c r="S37">
        <v>2010</v>
      </c>
      <c r="T37">
        <v>2310</v>
      </c>
      <c r="U37">
        <v>2415</v>
      </c>
      <c r="V37">
        <v>2880</v>
      </c>
      <c r="W37">
        <v>728.82</v>
      </c>
      <c r="X37">
        <v>135.90076444883499</v>
      </c>
      <c r="Y37">
        <v>0</v>
      </c>
      <c r="Z37">
        <v>0</v>
      </c>
      <c r="AA37">
        <v>0</v>
      </c>
      <c r="AB37">
        <v>19000000</v>
      </c>
      <c r="AC37" t="s">
        <v>85</v>
      </c>
      <c r="AD37" t="s">
        <v>86</v>
      </c>
    </row>
    <row r="38" spans="16:30" x14ac:dyDescent="0.25">
      <c r="P38">
        <v>2051.1</v>
      </c>
      <c r="Q38">
        <v>392.8062595934</v>
      </c>
      <c r="R38">
        <v>1180</v>
      </c>
      <c r="S38">
        <v>1940</v>
      </c>
      <c r="T38">
        <v>2030</v>
      </c>
      <c r="U38">
        <v>2270</v>
      </c>
      <c r="V38">
        <v>3940</v>
      </c>
      <c r="W38">
        <v>720.6</v>
      </c>
      <c r="X38">
        <v>141.50846781958401</v>
      </c>
      <c r="Y38">
        <v>0</v>
      </c>
      <c r="Z38">
        <v>0</v>
      </c>
      <c r="AA38">
        <v>0</v>
      </c>
      <c r="AB38">
        <v>20000000</v>
      </c>
      <c r="AC38" t="s">
        <v>85</v>
      </c>
      <c r="AD38" t="s">
        <v>86</v>
      </c>
    </row>
    <row r="39" spans="16:30" x14ac:dyDescent="0.25">
      <c r="P39">
        <v>4098.2</v>
      </c>
      <c r="Q39">
        <v>1156.0026737936901</v>
      </c>
      <c r="R39">
        <v>1360</v>
      </c>
      <c r="S39">
        <v>3167.5</v>
      </c>
      <c r="T39">
        <v>4460</v>
      </c>
      <c r="U39">
        <v>4790</v>
      </c>
      <c r="V39">
        <v>6980</v>
      </c>
      <c r="W39">
        <v>892.58</v>
      </c>
      <c r="X39">
        <v>182.364114625192</v>
      </c>
      <c r="Y39">
        <v>0</v>
      </c>
      <c r="Z39">
        <v>0</v>
      </c>
      <c r="AA39">
        <v>0</v>
      </c>
      <c r="AB39">
        <v>21000000</v>
      </c>
      <c r="AC39" t="s">
        <v>85</v>
      </c>
    </row>
    <row r="40" spans="16:30" x14ac:dyDescent="0.25">
      <c r="P40">
        <v>2739</v>
      </c>
      <c r="Q40">
        <v>1159.9978230561201</v>
      </c>
      <c r="R40">
        <v>730</v>
      </c>
      <c r="S40">
        <v>2140</v>
      </c>
      <c r="T40">
        <v>2625</v>
      </c>
      <c r="U40">
        <v>3317.5</v>
      </c>
      <c r="V40">
        <v>6110</v>
      </c>
      <c r="W40">
        <v>824.48</v>
      </c>
      <c r="X40">
        <v>111.32248903818299</v>
      </c>
      <c r="Y40">
        <v>0</v>
      </c>
      <c r="Z40">
        <v>0</v>
      </c>
      <c r="AA40">
        <v>0</v>
      </c>
      <c r="AB40">
        <v>22000000</v>
      </c>
      <c r="AC40" t="s">
        <v>85</v>
      </c>
    </row>
    <row r="41" spans="16:30" x14ac:dyDescent="0.25">
      <c r="P41">
        <v>3699.9</v>
      </c>
      <c r="Q41">
        <v>977.19604538245596</v>
      </c>
      <c r="R41">
        <v>1210</v>
      </c>
      <c r="S41">
        <v>3707.5</v>
      </c>
      <c r="T41">
        <v>3800</v>
      </c>
      <c r="U41">
        <v>4142.5</v>
      </c>
      <c r="V41">
        <v>6160</v>
      </c>
      <c r="W41">
        <v>809.14</v>
      </c>
      <c r="X41">
        <v>120.619027930877</v>
      </c>
      <c r="Y41">
        <v>0</v>
      </c>
      <c r="Z41">
        <v>0</v>
      </c>
      <c r="AA41">
        <v>0</v>
      </c>
      <c r="AB41">
        <v>23000000</v>
      </c>
      <c r="AC41" t="s">
        <v>85</v>
      </c>
    </row>
    <row r="42" spans="16:30" x14ac:dyDescent="0.25">
      <c r="P42">
        <v>3991</v>
      </c>
      <c r="Q42">
        <v>940.71378444371896</v>
      </c>
      <c r="R42">
        <v>2070</v>
      </c>
      <c r="S42">
        <v>3687.5</v>
      </c>
      <c r="T42">
        <v>4060</v>
      </c>
      <c r="U42">
        <v>4447.5</v>
      </c>
      <c r="V42">
        <v>6960</v>
      </c>
      <c r="W42">
        <v>791.88</v>
      </c>
      <c r="X42">
        <v>108.79368668551599</v>
      </c>
      <c r="Y42">
        <v>0</v>
      </c>
      <c r="Z42">
        <v>0</v>
      </c>
      <c r="AA42">
        <v>0</v>
      </c>
      <c r="AB42">
        <v>24000000</v>
      </c>
      <c r="AC42" t="s">
        <v>85</v>
      </c>
    </row>
    <row r="43" spans="16:30" x14ac:dyDescent="0.25">
      <c r="P43">
        <v>3605.8</v>
      </c>
      <c r="Q43">
        <v>1127.50119711464</v>
      </c>
      <c r="R43">
        <v>760</v>
      </c>
      <c r="S43">
        <v>2957.5</v>
      </c>
      <c r="T43">
        <v>3890</v>
      </c>
      <c r="U43">
        <v>4172.5</v>
      </c>
      <c r="V43">
        <v>5790</v>
      </c>
      <c r="W43">
        <v>814.74</v>
      </c>
      <c r="X43">
        <v>194.39097435089599</v>
      </c>
      <c r="Y43">
        <v>0</v>
      </c>
      <c r="Z43">
        <v>0</v>
      </c>
      <c r="AA43">
        <v>0</v>
      </c>
      <c r="AB43">
        <v>25000000</v>
      </c>
      <c r="AC43" t="s">
        <v>85</v>
      </c>
    </row>
    <row r="44" spans="16:30" x14ac:dyDescent="0.25">
      <c r="P44">
        <v>3784.2</v>
      </c>
      <c r="Q44">
        <v>932.60163959850399</v>
      </c>
      <c r="R44">
        <v>1370</v>
      </c>
      <c r="S44">
        <v>3077.5</v>
      </c>
      <c r="T44">
        <v>3880</v>
      </c>
      <c r="U44">
        <v>4270</v>
      </c>
      <c r="V44">
        <v>6960</v>
      </c>
      <c r="W44">
        <v>823.66</v>
      </c>
      <c r="X44">
        <v>157.800040967336</v>
      </c>
      <c r="Y44">
        <v>0</v>
      </c>
      <c r="Z44">
        <v>0</v>
      </c>
      <c r="AA44">
        <v>0</v>
      </c>
      <c r="AB44">
        <v>26000000</v>
      </c>
      <c r="AC44" t="s">
        <v>85</v>
      </c>
    </row>
    <row r="45" spans="16:30" x14ac:dyDescent="0.25">
      <c r="P45">
        <v>3566.4</v>
      </c>
      <c r="Q45">
        <v>965.52337824590904</v>
      </c>
      <c r="R45">
        <v>1210</v>
      </c>
      <c r="S45">
        <v>3787.5</v>
      </c>
      <c r="T45">
        <v>3950</v>
      </c>
      <c r="U45">
        <v>4055</v>
      </c>
      <c r="V45">
        <v>4630</v>
      </c>
      <c r="W45">
        <v>760.86</v>
      </c>
      <c r="X45">
        <v>107.60055386437</v>
      </c>
      <c r="Y45">
        <v>0</v>
      </c>
      <c r="Z45">
        <v>0</v>
      </c>
      <c r="AA45">
        <v>0</v>
      </c>
      <c r="AB45">
        <v>27000000</v>
      </c>
      <c r="AC45" t="s">
        <v>85</v>
      </c>
    </row>
    <row r="46" spans="16:30" x14ac:dyDescent="0.25">
      <c r="P46">
        <v>3795.4</v>
      </c>
      <c r="Q46">
        <v>851.13758695007198</v>
      </c>
      <c r="R46">
        <v>430</v>
      </c>
      <c r="S46">
        <v>3890</v>
      </c>
      <c r="T46">
        <v>3920</v>
      </c>
      <c r="U46">
        <v>4150</v>
      </c>
      <c r="V46">
        <v>5350</v>
      </c>
      <c r="W46">
        <v>864.46</v>
      </c>
      <c r="X46">
        <v>76.796388277869198</v>
      </c>
      <c r="Y46">
        <v>0</v>
      </c>
      <c r="Z46">
        <v>0</v>
      </c>
      <c r="AA46">
        <v>0</v>
      </c>
      <c r="AB46">
        <v>28000000</v>
      </c>
      <c r="AC46" t="s">
        <v>85</v>
      </c>
    </row>
    <row r="47" spans="16:30" x14ac:dyDescent="0.25">
      <c r="P47">
        <v>4316.8</v>
      </c>
      <c r="Q47">
        <v>1255.09618127154</v>
      </c>
      <c r="R47">
        <v>930</v>
      </c>
      <c r="S47">
        <v>4027.5</v>
      </c>
      <c r="T47">
        <v>4520</v>
      </c>
      <c r="U47">
        <v>4730</v>
      </c>
      <c r="V47">
        <v>8320</v>
      </c>
      <c r="W47">
        <v>899.74</v>
      </c>
      <c r="X47">
        <v>93.083064892046593</v>
      </c>
      <c r="Y47">
        <v>0</v>
      </c>
      <c r="Z47">
        <v>0</v>
      </c>
      <c r="AA47">
        <v>0</v>
      </c>
      <c r="AB47">
        <v>29000000</v>
      </c>
      <c r="AC47" t="s">
        <v>85</v>
      </c>
    </row>
    <row r="48" spans="16:30" x14ac:dyDescent="0.25">
      <c r="P48">
        <v>3103.5</v>
      </c>
      <c r="Q48">
        <v>904.46968110622902</v>
      </c>
      <c r="R48">
        <v>510</v>
      </c>
      <c r="S48">
        <v>2365</v>
      </c>
      <c r="T48">
        <v>3590</v>
      </c>
      <c r="U48">
        <v>3630</v>
      </c>
      <c r="V48">
        <v>4570</v>
      </c>
      <c r="W48">
        <v>741.5</v>
      </c>
      <c r="X48">
        <v>76.581177633128405</v>
      </c>
      <c r="Y48">
        <v>0</v>
      </c>
      <c r="Z48">
        <v>0</v>
      </c>
      <c r="AA48">
        <v>0</v>
      </c>
      <c r="AB48">
        <v>30000000</v>
      </c>
      <c r="AC48" t="s">
        <v>85</v>
      </c>
    </row>
  </sheetData>
  <conditionalFormatting sqref="F2:F1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1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1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:S1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1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:U1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1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:W1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:X1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356CF-33ED-426F-8480-D5D1647FF48E}">
  <dimension ref="A1:AC2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J37" sqref="J37"/>
    </sheetView>
  </sheetViews>
  <sheetFormatPr defaultRowHeight="15" x14ac:dyDescent="0.25"/>
  <cols>
    <col min="1" max="1" width="6.7109375" bestFit="1" customWidth="1"/>
    <col min="2" max="2" width="12.140625" bestFit="1" customWidth="1"/>
    <col min="3" max="3" width="41" bestFit="1" customWidth="1"/>
    <col min="4" max="4" width="22.140625" bestFit="1" customWidth="1"/>
    <col min="5" max="5" width="14.5703125" bestFit="1" customWidth="1"/>
    <col min="6" max="6" width="12.5703125" bestFit="1" customWidth="1"/>
    <col min="7" max="7" width="10.5703125" bestFit="1" customWidth="1"/>
    <col min="8" max="8" width="12.28515625" bestFit="1" customWidth="1"/>
    <col min="9" max="9" width="11.7109375" bestFit="1" customWidth="1"/>
    <col min="10" max="10" width="12.7109375" bestFit="1" customWidth="1"/>
    <col min="11" max="11" width="11.85546875" bestFit="1" customWidth="1"/>
    <col min="12" max="12" width="20.42578125" bestFit="1" customWidth="1"/>
    <col min="13" max="13" width="13.42578125" bestFit="1" customWidth="1"/>
    <col min="14" max="14" width="29.85546875" bestFit="1" customWidth="1"/>
    <col min="15" max="15" width="22.7109375" bestFit="1" customWidth="1"/>
    <col min="16" max="16" width="19.28515625" bestFit="1" customWidth="1"/>
    <col min="17" max="17" width="20.7109375" bestFit="1" customWidth="1"/>
    <col min="18" max="18" width="12.5703125" bestFit="1" customWidth="1"/>
    <col min="19" max="19" width="11.5703125" bestFit="1" customWidth="1"/>
    <col min="20" max="20" width="16.7109375" bestFit="1" customWidth="1"/>
    <col min="21" max="21" width="15.7109375" bestFit="1" customWidth="1"/>
    <col min="22" max="22" width="14.7109375" bestFit="1" customWidth="1"/>
    <col min="23" max="23" width="9.140625" bestFit="1" customWidth="1"/>
    <col min="24" max="24" width="6.140625" bestFit="1" customWidth="1"/>
    <col min="27" max="27" width="22.425781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57</v>
      </c>
    </row>
    <row r="2" spans="1:29" x14ac:dyDescent="0.25">
      <c r="A2">
        <v>1</v>
      </c>
      <c r="B2" s="2">
        <v>45861</v>
      </c>
      <c r="C2" t="s">
        <v>25</v>
      </c>
      <c r="D2" t="s">
        <v>23</v>
      </c>
      <c r="E2" s="1">
        <v>10000000</v>
      </c>
      <c r="F2">
        <v>2.5000000000000001E-4</v>
      </c>
      <c r="G2">
        <v>128</v>
      </c>
      <c r="H2">
        <v>4</v>
      </c>
      <c r="I2">
        <v>0.1</v>
      </c>
      <c r="J2">
        <v>0.01</v>
      </c>
      <c r="K2">
        <v>0.95</v>
      </c>
      <c r="L2" t="b">
        <v>0</v>
      </c>
      <c r="M2">
        <v>0</v>
      </c>
      <c r="N2" t="b">
        <v>0</v>
      </c>
      <c r="O2">
        <v>0</v>
      </c>
      <c r="P2" t="b">
        <v>0</v>
      </c>
      <c r="Q2">
        <v>0</v>
      </c>
      <c r="R2" s="4">
        <v>210</v>
      </c>
      <c r="S2" s="3">
        <v>0</v>
      </c>
      <c r="T2">
        <v>210</v>
      </c>
      <c r="U2">
        <v>210</v>
      </c>
      <c r="V2">
        <v>210</v>
      </c>
      <c r="W2">
        <v>210</v>
      </c>
      <c r="X2">
        <v>210</v>
      </c>
      <c r="Y2">
        <v>735</v>
      </c>
      <c r="Z2">
        <v>0</v>
      </c>
      <c r="AA2">
        <v>0</v>
      </c>
      <c r="AB2">
        <v>0</v>
      </c>
      <c r="AC2">
        <v>0</v>
      </c>
    </row>
    <row r="3" spans="1:29" x14ac:dyDescent="0.25">
      <c r="A3">
        <v>2</v>
      </c>
      <c r="B3" s="2">
        <v>45862</v>
      </c>
      <c r="C3" t="s">
        <v>21</v>
      </c>
      <c r="D3" t="s">
        <v>26</v>
      </c>
      <c r="E3" s="1">
        <v>10000000</v>
      </c>
      <c r="F3">
        <v>2.5000000000000001E-4</v>
      </c>
      <c r="G3">
        <v>128</v>
      </c>
      <c r="H3">
        <v>4</v>
      </c>
      <c r="I3">
        <v>0.1</v>
      </c>
      <c r="J3">
        <v>0.01</v>
      </c>
      <c r="K3">
        <v>0.95</v>
      </c>
      <c r="L3" t="b">
        <v>1</v>
      </c>
      <c r="M3">
        <v>-250</v>
      </c>
      <c r="N3" t="b">
        <v>1</v>
      </c>
      <c r="O3">
        <v>5000</v>
      </c>
      <c r="P3" t="b">
        <v>1</v>
      </c>
      <c r="Q3">
        <v>-1</v>
      </c>
      <c r="R3" s="4">
        <v>752.16</v>
      </c>
      <c r="S3" s="3">
        <v>50.039407316325502</v>
      </c>
      <c r="T3">
        <v>690</v>
      </c>
      <c r="U3">
        <v>710</v>
      </c>
      <c r="V3">
        <v>750</v>
      </c>
      <c r="W3">
        <v>780</v>
      </c>
      <c r="X3">
        <v>1400</v>
      </c>
      <c r="Y3">
        <v>618.54399999999998</v>
      </c>
      <c r="Z3">
        <v>58.606257779368597</v>
      </c>
      <c r="AA3">
        <v>0</v>
      </c>
      <c r="AB3">
        <v>0</v>
      </c>
      <c r="AC3">
        <v>0</v>
      </c>
    </row>
    <row r="4" spans="1:29" x14ac:dyDescent="0.25">
      <c r="A4">
        <v>3</v>
      </c>
      <c r="B4" s="2">
        <v>45862</v>
      </c>
      <c r="C4" t="s">
        <v>27</v>
      </c>
      <c r="D4" t="s">
        <v>41</v>
      </c>
      <c r="E4" s="1">
        <v>10000000</v>
      </c>
      <c r="F4">
        <v>1E-4</v>
      </c>
      <c r="G4">
        <v>128</v>
      </c>
      <c r="H4">
        <v>4</v>
      </c>
      <c r="I4">
        <v>0.1</v>
      </c>
      <c r="J4">
        <v>0.01</v>
      </c>
      <c r="K4">
        <v>0.95</v>
      </c>
      <c r="L4" t="b">
        <v>0</v>
      </c>
      <c r="M4">
        <v>0</v>
      </c>
      <c r="N4" t="b">
        <v>0</v>
      </c>
      <c r="O4">
        <v>0</v>
      </c>
      <c r="P4" t="b">
        <v>0</v>
      </c>
      <c r="Q4">
        <v>0</v>
      </c>
      <c r="R4" s="4">
        <v>70</v>
      </c>
      <c r="S4" s="3">
        <v>0</v>
      </c>
      <c r="T4">
        <v>70</v>
      </c>
      <c r="U4">
        <v>70</v>
      </c>
      <c r="V4">
        <v>70</v>
      </c>
      <c r="W4">
        <v>70</v>
      </c>
      <c r="X4">
        <v>70</v>
      </c>
      <c r="Y4">
        <v>529</v>
      </c>
      <c r="Z4">
        <v>0</v>
      </c>
      <c r="AA4">
        <v>0</v>
      </c>
      <c r="AB4">
        <v>0</v>
      </c>
      <c r="AC4">
        <v>0</v>
      </c>
    </row>
    <row r="5" spans="1:29" x14ac:dyDescent="0.25">
      <c r="A5">
        <v>4</v>
      </c>
      <c r="B5" s="2">
        <v>45865</v>
      </c>
      <c r="C5" t="s">
        <v>30</v>
      </c>
      <c r="D5" t="s">
        <v>33</v>
      </c>
      <c r="E5" s="1">
        <v>10000000</v>
      </c>
      <c r="F5">
        <v>5.0000000000000001E-4</v>
      </c>
      <c r="G5">
        <v>128</v>
      </c>
      <c r="H5">
        <v>4</v>
      </c>
      <c r="I5">
        <v>0.1</v>
      </c>
      <c r="J5">
        <v>0.01</v>
      </c>
      <c r="K5">
        <v>0.95</v>
      </c>
      <c r="L5" t="b">
        <v>0</v>
      </c>
      <c r="M5">
        <v>0</v>
      </c>
      <c r="N5" t="b">
        <v>0</v>
      </c>
      <c r="O5">
        <v>0</v>
      </c>
      <c r="P5" t="b">
        <v>0</v>
      </c>
      <c r="Q5">
        <v>0</v>
      </c>
      <c r="R5" s="4">
        <v>168.34</v>
      </c>
      <c r="S5" s="3">
        <v>9.3819209590447699</v>
      </c>
      <c r="T5">
        <v>120</v>
      </c>
      <c r="U5">
        <v>170</v>
      </c>
      <c r="V5">
        <v>170</v>
      </c>
      <c r="W5">
        <v>170</v>
      </c>
      <c r="X5">
        <v>240</v>
      </c>
      <c r="Y5">
        <v>556.65599999999995</v>
      </c>
      <c r="Z5">
        <v>10.6438831493489</v>
      </c>
      <c r="AA5">
        <v>0</v>
      </c>
      <c r="AB5">
        <v>0</v>
      </c>
      <c r="AC5">
        <v>0</v>
      </c>
    </row>
    <row r="6" spans="1:29" x14ac:dyDescent="0.25">
      <c r="A6">
        <v>5</v>
      </c>
      <c r="B6" s="2">
        <v>45866</v>
      </c>
      <c r="C6" t="s">
        <v>36</v>
      </c>
      <c r="E6" s="1">
        <v>10000000</v>
      </c>
      <c r="F6">
        <v>2.5000000000000001E-4</v>
      </c>
      <c r="G6">
        <v>128</v>
      </c>
      <c r="H6">
        <v>3</v>
      </c>
      <c r="I6">
        <v>0.1</v>
      </c>
      <c r="J6">
        <v>0.01</v>
      </c>
      <c r="K6">
        <v>0.95</v>
      </c>
      <c r="L6" t="b">
        <v>0</v>
      </c>
      <c r="M6">
        <v>0</v>
      </c>
      <c r="N6" t="b">
        <v>0</v>
      </c>
      <c r="O6">
        <v>0</v>
      </c>
      <c r="P6" t="b">
        <v>0</v>
      </c>
      <c r="Q6">
        <v>0</v>
      </c>
      <c r="R6" s="4">
        <v>820</v>
      </c>
      <c r="S6" s="3">
        <v>0</v>
      </c>
      <c r="T6">
        <v>820</v>
      </c>
      <c r="U6">
        <v>820</v>
      </c>
      <c r="V6">
        <v>820</v>
      </c>
      <c r="W6">
        <v>820</v>
      </c>
      <c r="X6">
        <v>820</v>
      </c>
      <c r="Y6">
        <v>729</v>
      </c>
      <c r="Z6">
        <v>0</v>
      </c>
      <c r="AA6">
        <v>0</v>
      </c>
      <c r="AB6">
        <v>0</v>
      </c>
      <c r="AC6">
        <v>0</v>
      </c>
    </row>
    <row r="7" spans="1:29" x14ac:dyDescent="0.25">
      <c r="A7">
        <v>6</v>
      </c>
      <c r="B7" s="2">
        <v>45867</v>
      </c>
      <c r="C7" t="s">
        <v>37</v>
      </c>
      <c r="E7" s="1">
        <v>10000000</v>
      </c>
      <c r="F7">
        <v>2.5000000000000001E-4</v>
      </c>
      <c r="G7">
        <v>128</v>
      </c>
      <c r="H7">
        <v>10</v>
      </c>
      <c r="I7">
        <v>0.1</v>
      </c>
      <c r="J7">
        <v>0.01</v>
      </c>
      <c r="K7">
        <v>0.95</v>
      </c>
      <c r="L7" t="b">
        <v>0</v>
      </c>
      <c r="M7">
        <v>0</v>
      </c>
      <c r="N7" t="b">
        <v>0</v>
      </c>
      <c r="O7">
        <v>0</v>
      </c>
      <c r="P7" t="b">
        <v>0</v>
      </c>
      <c r="Q7">
        <v>0</v>
      </c>
      <c r="R7" s="4">
        <v>70</v>
      </c>
      <c r="S7" s="3">
        <v>0</v>
      </c>
      <c r="T7">
        <v>70</v>
      </c>
      <c r="U7">
        <v>70</v>
      </c>
      <c r="V7">
        <v>70</v>
      </c>
      <c r="W7">
        <v>70</v>
      </c>
      <c r="X7">
        <v>70</v>
      </c>
      <c r="Y7">
        <v>529</v>
      </c>
      <c r="Z7">
        <v>0</v>
      </c>
      <c r="AA7">
        <v>0</v>
      </c>
      <c r="AB7">
        <v>0</v>
      </c>
      <c r="AC7">
        <v>0</v>
      </c>
    </row>
    <row r="8" spans="1:29" x14ac:dyDescent="0.25">
      <c r="A8">
        <v>7</v>
      </c>
      <c r="B8" s="2">
        <v>45868</v>
      </c>
      <c r="C8" t="s">
        <v>40</v>
      </c>
      <c r="E8" s="1">
        <v>10000000</v>
      </c>
      <c r="F8">
        <v>2.5000000000000001E-4</v>
      </c>
      <c r="G8">
        <v>512</v>
      </c>
      <c r="H8">
        <v>4</v>
      </c>
      <c r="I8">
        <v>0.1</v>
      </c>
      <c r="J8">
        <v>0.01</v>
      </c>
      <c r="K8">
        <v>0.95</v>
      </c>
      <c r="L8" t="b">
        <v>0</v>
      </c>
      <c r="M8">
        <v>0</v>
      </c>
      <c r="N8" t="b">
        <v>0</v>
      </c>
      <c r="O8">
        <v>0</v>
      </c>
      <c r="P8" t="b">
        <v>0</v>
      </c>
      <c r="Q8">
        <v>0</v>
      </c>
      <c r="R8" s="4">
        <v>1071.44</v>
      </c>
      <c r="S8" s="3">
        <v>183.76906305761599</v>
      </c>
      <c r="T8">
        <v>770</v>
      </c>
      <c r="U8">
        <v>770</v>
      </c>
      <c r="V8">
        <v>1170</v>
      </c>
      <c r="W8">
        <v>1170</v>
      </c>
      <c r="X8">
        <v>1810</v>
      </c>
      <c r="Y8">
        <v>623.05999999999995</v>
      </c>
      <c r="Z8">
        <v>0.77304281277349796</v>
      </c>
      <c r="AA8">
        <v>0</v>
      </c>
      <c r="AB8">
        <v>0</v>
      </c>
      <c r="AC8">
        <v>0</v>
      </c>
    </row>
    <row r="9" spans="1:29" x14ac:dyDescent="0.25">
      <c r="A9">
        <v>8</v>
      </c>
      <c r="B9" s="2">
        <v>45868</v>
      </c>
      <c r="C9" t="s">
        <v>43</v>
      </c>
      <c r="E9" s="1">
        <v>10000000</v>
      </c>
      <c r="F9">
        <v>2.5000000000000001E-4</v>
      </c>
      <c r="G9">
        <v>2048</v>
      </c>
      <c r="H9">
        <v>4</v>
      </c>
      <c r="I9">
        <v>0.1</v>
      </c>
      <c r="J9">
        <v>0.01</v>
      </c>
      <c r="K9">
        <v>0.95</v>
      </c>
      <c r="L9" t="b">
        <v>0</v>
      </c>
      <c r="M9">
        <v>0</v>
      </c>
      <c r="N9" t="b">
        <v>0</v>
      </c>
      <c r="O9">
        <v>0</v>
      </c>
      <c r="P9" t="b">
        <v>0</v>
      </c>
      <c r="Q9">
        <v>0</v>
      </c>
      <c r="R9" s="4">
        <v>232.94</v>
      </c>
      <c r="S9" s="3">
        <v>7.8791218496888602</v>
      </c>
      <c r="T9">
        <v>200</v>
      </c>
      <c r="U9">
        <v>230</v>
      </c>
      <c r="V9">
        <v>230</v>
      </c>
      <c r="W9">
        <v>240</v>
      </c>
      <c r="X9">
        <v>240</v>
      </c>
      <c r="Y9">
        <v>493.20800000000003</v>
      </c>
      <c r="Z9">
        <v>1.7874916090726101</v>
      </c>
      <c r="AA9">
        <v>0</v>
      </c>
      <c r="AB9">
        <v>0</v>
      </c>
      <c r="AC9">
        <v>0</v>
      </c>
    </row>
    <row r="10" spans="1:29" x14ac:dyDescent="0.25">
      <c r="A10">
        <v>9</v>
      </c>
      <c r="B10" s="2">
        <v>45869</v>
      </c>
      <c r="C10" t="s">
        <v>45</v>
      </c>
      <c r="E10" s="1">
        <v>10000000</v>
      </c>
      <c r="F10">
        <v>2.5000000000000001E-4</v>
      </c>
      <c r="G10">
        <v>128</v>
      </c>
      <c r="H10">
        <v>4</v>
      </c>
      <c r="I10">
        <v>0.3</v>
      </c>
      <c r="J10">
        <v>0.01</v>
      </c>
      <c r="K10">
        <v>0.95</v>
      </c>
      <c r="L10" t="b">
        <v>0</v>
      </c>
      <c r="M10">
        <v>0</v>
      </c>
      <c r="N10" t="b">
        <v>0</v>
      </c>
      <c r="O10">
        <v>0</v>
      </c>
      <c r="P10" t="b">
        <v>0</v>
      </c>
      <c r="Q10">
        <v>0</v>
      </c>
      <c r="R10">
        <v>1135.54</v>
      </c>
      <c r="S10">
        <v>211.281774833404</v>
      </c>
      <c r="T10">
        <v>600</v>
      </c>
      <c r="U10">
        <v>940</v>
      </c>
      <c r="V10">
        <v>1250</v>
      </c>
      <c r="W10">
        <v>1320</v>
      </c>
      <c r="X10">
        <v>1600</v>
      </c>
      <c r="Y10">
        <v>720.36</v>
      </c>
      <c r="Z10">
        <v>169.13901505219201</v>
      </c>
      <c r="AA10">
        <v>0</v>
      </c>
      <c r="AB10">
        <v>0</v>
      </c>
      <c r="AC10">
        <v>0</v>
      </c>
    </row>
    <row r="11" spans="1:29" x14ac:dyDescent="0.25">
      <c r="A11">
        <v>10</v>
      </c>
      <c r="B11" s="2">
        <v>45869</v>
      </c>
      <c r="C11" t="s">
        <v>58</v>
      </c>
      <c r="E11" s="1">
        <v>10000000</v>
      </c>
      <c r="F11">
        <v>2.5000000000000001E-4</v>
      </c>
      <c r="G11">
        <v>128</v>
      </c>
      <c r="H11">
        <v>4</v>
      </c>
      <c r="I11">
        <v>0.1</v>
      </c>
      <c r="J11">
        <v>0.05</v>
      </c>
      <c r="K11">
        <v>0.95</v>
      </c>
      <c r="L11" t="b">
        <v>0</v>
      </c>
      <c r="M11">
        <v>0</v>
      </c>
      <c r="N11" t="b">
        <v>0</v>
      </c>
      <c r="O11">
        <v>0</v>
      </c>
      <c r="P11" t="b">
        <v>0</v>
      </c>
      <c r="Q11">
        <v>0</v>
      </c>
      <c r="R11">
        <v>1090</v>
      </c>
      <c r="S11">
        <v>0</v>
      </c>
      <c r="T11">
        <v>1090</v>
      </c>
      <c r="U11">
        <v>1090</v>
      </c>
      <c r="V11">
        <v>1090</v>
      </c>
      <c r="W11">
        <v>1090</v>
      </c>
      <c r="X11">
        <v>1090</v>
      </c>
      <c r="Y11">
        <v>785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>
        <v>11</v>
      </c>
      <c r="B12" s="2">
        <v>45869</v>
      </c>
      <c r="C12" t="s">
        <v>73</v>
      </c>
      <c r="E12" s="1">
        <v>10000000</v>
      </c>
      <c r="F12">
        <v>2.5000000000000001E-4</v>
      </c>
      <c r="G12">
        <v>512</v>
      </c>
      <c r="H12">
        <v>3</v>
      </c>
      <c r="I12">
        <v>0.3</v>
      </c>
      <c r="J12">
        <v>0.05</v>
      </c>
      <c r="R12">
        <v>957.7</v>
      </c>
      <c r="S12">
        <v>476.81192226960599</v>
      </c>
      <c r="T12">
        <v>440</v>
      </c>
      <c r="U12">
        <v>760</v>
      </c>
      <c r="V12">
        <v>760</v>
      </c>
      <c r="W12">
        <v>1290</v>
      </c>
      <c r="X12">
        <v>2450</v>
      </c>
      <c r="Y12">
        <v>718.61599999999999</v>
      </c>
      <c r="Z12">
        <v>165.454946201208</v>
      </c>
      <c r="AA12">
        <v>0</v>
      </c>
      <c r="AB12">
        <v>0</v>
      </c>
      <c r="AC12">
        <v>0</v>
      </c>
    </row>
    <row r="20" spans="3:10" x14ac:dyDescent="0.25">
      <c r="C20" t="s">
        <v>74</v>
      </c>
      <c r="E20" t="s">
        <v>76</v>
      </c>
      <c r="F20" s="6">
        <v>2.5000000000000001E-4</v>
      </c>
      <c r="G20">
        <v>512</v>
      </c>
      <c r="H20">
        <v>3</v>
      </c>
      <c r="I20">
        <v>0.3</v>
      </c>
      <c r="J20">
        <v>0.05</v>
      </c>
    </row>
    <row r="21" spans="3:10" x14ac:dyDescent="0.25">
      <c r="E21" t="s">
        <v>77</v>
      </c>
      <c r="F21" s="6">
        <v>1E-4</v>
      </c>
      <c r="G21">
        <v>1024</v>
      </c>
      <c r="H21">
        <v>10</v>
      </c>
      <c r="I21">
        <v>0.1</v>
      </c>
      <c r="J21">
        <v>0.01</v>
      </c>
    </row>
    <row r="22" spans="3:10" x14ac:dyDescent="0.25">
      <c r="C22" t="s">
        <v>63</v>
      </c>
      <c r="E22" t="s">
        <v>75</v>
      </c>
      <c r="F22" s="6">
        <v>1E-4</v>
      </c>
      <c r="G22">
        <v>1024</v>
      </c>
      <c r="H22">
        <v>10</v>
      </c>
      <c r="I22">
        <v>0.1</v>
      </c>
      <c r="J22">
        <v>0.01</v>
      </c>
    </row>
    <row r="23" spans="3:10" x14ac:dyDescent="0.25">
      <c r="C23" t="s">
        <v>64</v>
      </c>
      <c r="E23" t="s">
        <v>79</v>
      </c>
      <c r="F23" s="6">
        <v>1E-4</v>
      </c>
      <c r="G23">
        <v>1024</v>
      </c>
      <c r="H23">
        <v>10</v>
      </c>
      <c r="I23">
        <v>0.1</v>
      </c>
      <c r="J23">
        <v>0.01</v>
      </c>
    </row>
    <row r="24" spans="3:10" x14ac:dyDescent="0.25">
      <c r="C24" t="s">
        <v>65</v>
      </c>
      <c r="E24" t="s">
        <v>80</v>
      </c>
      <c r="F24" s="6">
        <v>2.5000000000000001E-5</v>
      </c>
      <c r="G24">
        <v>2048</v>
      </c>
      <c r="H24">
        <v>10</v>
      </c>
      <c r="I24">
        <v>0.1</v>
      </c>
      <c r="J24">
        <v>0.01</v>
      </c>
    </row>
    <row r="25" spans="3:10" x14ac:dyDescent="0.25">
      <c r="C25" t="s">
        <v>66</v>
      </c>
      <c r="E25" t="s">
        <v>89</v>
      </c>
      <c r="F25" s="6">
        <v>2.5000000000000001E-5</v>
      </c>
      <c r="G25">
        <v>2048</v>
      </c>
      <c r="H25">
        <v>10</v>
      </c>
      <c r="I25">
        <v>0.1</v>
      </c>
      <c r="J25">
        <v>0.01</v>
      </c>
    </row>
    <row r="26" spans="3:10" x14ac:dyDescent="0.25">
      <c r="C26" t="s">
        <v>67</v>
      </c>
    </row>
    <row r="27" spans="3:10" x14ac:dyDescent="0.25">
      <c r="C27" t="s">
        <v>68</v>
      </c>
    </row>
  </sheetData>
  <conditionalFormatting sqref="F2:F12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2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12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1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12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:S12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12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:U12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12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:W1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:X1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:Y1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:Z1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58B94-E51C-4AC9-96D9-2A3F1FAD1D88}">
  <dimension ref="A1:O25"/>
  <sheetViews>
    <sheetView workbookViewId="0">
      <selection activeCell="A23" sqref="A23:I25"/>
    </sheetView>
  </sheetViews>
  <sheetFormatPr defaultRowHeight="15" x14ac:dyDescent="0.25"/>
  <sheetData>
    <row r="1" spans="1:15" x14ac:dyDescent="0.25">
      <c r="A1">
        <v>13080</v>
      </c>
      <c r="B1" t="s">
        <v>78</v>
      </c>
    </row>
    <row r="2" spans="1:15" x14ac:dyDescent="0.25">
      <c r="A2">
        <v>14070</v>
      </c>
      <c r="B2" t="s">
        <v>78</v>
      </c>
    </row>
    <row r="3" spans="1:15" x14ac:dyDescent="0.25">
      <c r="A3">
        <v>18550</v>
      </c>
      <c r="B3" t="s">
        <v>78</v>
      </c>
    </row>
    <row r="4" spans="1:15" x14ac:dyDescent="0.25">
      <c r="A4">
        <v>16520</v>
      </c>
      <c r="B4" t="s">
        <v>81</v>
      </c>
    </row>
    <row r="16" spans="1:15" x14ac:dyDescent="0.25">
      <c r="A16" t="s">
        <v>46</v>
      </c>
      <c r="B16" t="s">
        <v>47</v>
      </c>
      <c r="C16" t="s">
        <v>48</v>
      </c>
      <c r="D16" t="s">
        <v>49</v>
      </c>
      <c r="E16" t="s">
        <v>50</v>
      </c>
      <c r="F16" t="s">
        <v>51</v>
      </c>
      <c r="G16" t="s">
        <v>52</v>
      </c>
      <c r="H16" t="s">
        <v>53</v>
      </c>
      <c r="I16" t="s">
        <v>54</v>
      </c>
      <c r="J16" t="s">
        <v>55</v>
      </c>
      <c r="K16" t="s">
        <v>56</v>
      </c>
      <c r="L16" t="s">
        <v>57</v>
      </c>
      <c r="M16" t="s">
        <v>82</v>
      </c>
      <c r="N16" t="s">
        <v>83</v>
      </c>
      <c r="O16" t="s">
        <v>84</v>
      </c>
    </row>
    <row r="17" spans="1:15" x14ac:dyDescent="0.25">
      <c r="A17">
        <v>3011.5</v>
      </c>
      <c r="B17">
        <v>899.53116299999999</v>
      </c>
      <c r="C17">
        <v>1170</v>
      </c>
      <c r="D17">
        <v>2187.5</v>
      </c>
      <c r="E17">
        <v>3590</v>
      </c>
      <c r="F17">
        <v>3630</v>
      </c>
      <c r="G17">
        <v>4200</v>
      </c>
      <c r="H17">
        <v>716.6</v>
      </c>
      <c r="I17">
        <v>72.860736130000006</v>
      </c>
      <c r="J17">
        <v>0</v>
      </c>
      <c r="K17">
        <v>0</v>
      </c>
      <c r="L17">
        <v>0</v>
      </c>
      <c r="M17">
        <v>30000000</v>
      </c>
      <c r="N17" t="s">
        <v>85</v>
      </c>
      <c r="O17" t="s">
        <v>86</v>
      </c>
    </row>
    <row r="18" spans="1:15" x14ac:dyDescent="0.25">
      <c r="A18">
        <v>322.7</v>
      </c>
      <c r="B18">
        <v>72.583702990000006</v>
      </c>
      <c r="C18">
        <v>310</v>
      </c>
      <c r="D18">
        <v>310</v>
      </c>
      <c r="E18">
        <v>310</v>
      </c>
      <c r="F18">
        <v>310</v>
      </c>
      <c r="G18">
        <v>740</v>
      </c>
      <c r="H18">
        <v>557.98</v>
      </c>
      <c r="I18">
        <v>28.460136930000001</v>
      </c>
      <c r="J18">
        <v>0</v>
      </c>
      <c r="K18">
        <v>0</v>
      </c>
      <c r="L18">
        <v>0</v>
      </c>
      <c r="M18">
        <v>30000000</v>
      </c>
      <c r="N18" t="s">
        <v>87</v>
      </c>
      <c r="O18" t="s">
        <v>88</v>
      </c>
    </row>
    <row r="19" spans="1:15" x14ac:dyDescent="0.25">
      <c r="A19">
        <v>3227.4</v>
      </c>
      <c r="B19">
        <v>693.15356059999999</v>
      </c>
      <c r="C19">
        <v>1110</v>
      </c>
      <c r="D19">
        <v>3550</v>
      </c>
      <c r="E19">
        <v>3550</v>
      </c>
      <c r="F19">
        <v>3550</v>
      </c>
      <c r="G19">
        <v>3550</v>
      </c>
      <c r="H19">
        <v>712.02</v>
      </c>
      <c r="I19">
        <v>97.383754060000001</v>
      </c>
      <c r="J19">
        <v>0</v>
      </c>
      <c r="K19">
        <v>0</v>
      </c>
      <c r="L19">
        <v>0</v>
      </c>
      <c r="M19">
        <v>60000000</v>
      </c>
      <c r="N19" t="s">
        <v>87</v>
      </c>
      <c r="O19" t="s">
        <v>88</v>
      </c>
    </row>
    <row r="23" spans="1:15" x14ac:dyDescent="0.25">
      <c r="A23" t="s">
        <v>46</v>
      </c>
      <c r="B23" t="s">
        <v>47</v>
      </c>
      <c r="C23" t="s">
        <v>48</v>
      </c>
      <c r="D23" t="s">
        <v>49</v>
      </c>
      <c r="E23" t="s">
        <v>50</v>
      </c>
      <c r="F23" t="s">
        <v>51</v>
      </c>
      <c r="G23" t="s">
        <v>52</v>
      </c>
      <c r="H23" t="s">
        <v>53</v>
      </c>
      <c r="I23" t="s">
        <v>54</v>
      </c>
      <c r="J23" t="s">
        <v>55</v>
      </c>
      <c r="K23" t="s">
        <v>56</v>
      </c>
      <c r="L23" t="s">
        <v>57</v>
      </c>
      <c r="M23" t="s">
        <v>82</v>
      </c>
      <c r="N23" t="s">
        <v>83</v>
      </c>
      <c r="O23" t="s">
        <v>84</v>
      </c>
    </row>
    <row r="24" spans="1:15" x14ac:dyDescent="0.25">
      <c r="A24" s="4">
        <v>3197.84</v>
      </c>
      <c r="B24" s="4">
        <v>771.28405439999995</v>
      </c>
      <c r="C24" s="4">
        <v>700</v>
      </c>
      <c r="D24" s="4">
        <v>2977.5</v>
      </c>
      <c r="E24" s="4">
        <v>3600</v>
      </c>
      <c r="F24" s="4">
        <v>3630</v>
      </c>
      <c r="G24" s="4">
        <v>5410</v>
      </c>
      <c r="H24" s="4">
        <v>737.05600000000004</v>
      </c>
      <c r="I24" s="4">
        <v>74.02028688</v>
      </c>
      <c r="J24">
        <v>0</v>
      </c>
      <c r="K24">
        <v>0</v>
      </c>
      <c r="L24">
        <v>0</v>
      </c>
      <c r="M24">
        <v>30000000</v>
      </c>
      <c r="N24" t="s">
        <v>85</v>
      </c>
      <c r="O24" t="s">
        <v>86</v>
      </c>
    </row>
    <row r="25" spans="1:15" x14ac:dyDescent="0.25">
      <c r="A25" s="4">
        <v>3160.26</v>
      </c>
      <c r="B25" s="4">
        <v>719.85896279999997</v>
      </c>
      <c r="C25" s="4">
        <v>530</v>
      </c>
      <c r="D25" s="4">
        <v>3550</v>
      </c>
      <c r="E25" s="4">
        <v>3550</v>
      </c>
      <c r="F25" s="4">
        <v>3550</v>
      </c>
      <c r="G25" s="4">
        <v>3550</v>
      </c>
      <c r="H25" s="4">
        <v>707.36800000000005</v>
      </c>
      <c r="I25" s="4">
        <v>83.860704810000001</v>
      </c>
      <c r="J25">
        <v>0</v>
      </c>
      <c r="K25">
        <v>0</v>
      </c>
      <c r="L25">
        <v>0</v>
      </c>
      <c r="M25">
        <v>60000000</v>
      </c>
      <c r="N25" t="s">
        <v>87</v>
      </c>
      <c r="O2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DQN_Runs</vt:lpstr>
      <vt:lpstr>PPO_Runs</vt:lpstr>
      <vt:lpstr>Human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Davis</dc:creator>
  <cp:lastModifiedBy>Alex Davis</cp:lastModifiedBy>
  <dcterms:created xsi:type="dcterms:W3CDTF">2025-07-24T01:51:22Z</dcterms:created>
  <dcterms:modified xsi:type="dcterms:W3CDTF">2025-08-14T19:30:55Z</dcterms:modified>
</cp:coreProperties>
</file>